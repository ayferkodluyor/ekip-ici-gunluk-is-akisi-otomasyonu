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ayf\OneDrive\Masaüstü\"/>
    </mc:Choice>
  </mc:AlternateContent>
  <xr:revisionPtr revIDLastSave="0" documentId="8_{F0301270-265A-413C-B84C-A3E3B39641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kip Takip" sheetId="1" r:id="rId1"/>
    <sheet name="Günlük Özet" sheetId="2" r:id="rId2"/>
  </sheets>
  <calcPr calcId="181029"/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<sst xmlns="http://schemas.openxmlformats.org/spreadsheetml/2006/main" count="110" uniqueCount="71">
  <si>
    <t>Çalışan</t>
  </si>
  <si>
    <t>E-posta</t>
  </si>
  <si>
    <t>İzin Durumu</t>
  </si>
  <si>
    <t>İş / Görev</t>
  </si>
  <si>
    <t>Son Tarih</t>
  </si>
  <si>
    <t>Durum</t>
  </si>
  <si>
    <t>Öncelik</t>
  </si>
  <si>
    <t>Not</t>
  </si>
  <si>
    <t>Ayşe Yılmaz</t>
  </si>
  <si>
    <t>ayse.yilmaz@example.com</t>
  </si>
  <si>
    <t>İzinli</t>
  </si>
  <si>
    <t>Aylık rapor kontrolü</t>
  </si>
  <si>
    <t>Bekliyor</t>
  </si>
  <si>
    <t>Yüksek</t>
  </si>
  <si>
    <t>Bugün izinli</t>
  </si>
  <si>
    <t>Mehmet Kaya</t>
  </si>
  <si>
    <t>mehmet.kaya@example.com</t>
  </si>
  <si>
    <t>Çalışıyor</t>
  </si>
  <si>
    <t>Dosya inceleme</t>
  </si>
  <si>
    <t>Zeynep Demir</t>
  </si>
  <si>
    <t>zeynep.demir@example.com</t>
  </si>
  <si>
    <t>Kontrol listesi güncelleme</t>
  </si>
  <si>
    <t>Devam Ediyor</t>
  </si>
  <si>
    <t>Orta</t>
  </si>
  <si>
    <t>Can Arslan</t>
  </si>
  <si>
    <t>can.arslan@example.com</t>
  </si>
  <si>
    <t>Haftalık veri kontrolü</t>
  </si>
  <si>
    <t>Elif Şahin</t>
  </si>
  <si>
    <t>elif.sahin@example.com</t>
  </si>
  <si>
    <t>Ekip raporu hazırlama</t>
  </si>
  <si>
    <t>Düşük</t>
  </si>
  <si>
    <t>Mert Aydın</t>
  </si>
  <si>
    <t>mert.aydin@example.com</t>
  </si>
  <si>
    <t>Eksik kayıt kontrolü</t>
  </si>
  <si>
    <t>Selin Koç</t>
  </si>
  <si>
    <t>selin.koc@example.com</t>
  </si>
  <si>
    <t>Günlük liste güncelleme</t>
  </si>
  <si>
    <t>Tamamlandı</t>
  </si>
  <si>
    <t>Burak Çelik</t>
  </si>
  <si>
    <t>burak.celik@example.com</t>
  </si>
  <si>
    <t>İşlem doğrulama</t>
  </si>
  <si>
    <t>Derya Yıldız</t>
  </si>
  <si>
    <t>derya.yildiz@example.com</t>
  </si>
  <si>
    <t>Toplantı notlarını paylaşma</t>
  </si>
  <si>
    <t>Emre Aksoy</t>
  </si>
  <si>
    <t>emre.aksoy@example.com</t>
  </si>
  <si>
    <t>Bekleyen talepleri kontrol etme</t>
  </si>
  <si>
    <t>Gizem Kılıç</t>
  </si>
  <si>
    <t>gizem.kilic@example.com</t>
  </si>
  <si>
    <t>Haftalık plan güncelleme</t>
  </si>
  <si>
    <t>Okan Kurt</t>
  </si>
  <si>
    <t>okan.kurt@example.com</t>
  </si>
  <si>
    <t>Dosya kapanış kontrolü</t>
  </si>
  <si>
    <t>Ece Özdemir</t>
  </si>
  <si>
    <t>ece.ozdemir@example.com</t>
  </si>
  <si>
    <t>Ekip içi duyuru taslağı</t>
  </si>
  <si>
    <t>Kerem Polat</t>
  </si>
  <si>
    <t>kerem.polat@example.com</t>
  </si>
  <si>
    <t>Rapor arşivleme</t>
  </si>
  <si>
    <t>Nazlı Yalçın</t>
  </si>
  <si>
    <t>nazli.yalcin@example.com</t>
  </si>
  <si>
    <t>Gün sonu kontrolü</t>
  </si>
  <si>
    <t>GÜNLÜK EKİP ÖZETİ – 07.10.2026</t>
  </si>
  <si>
    <t>Gösterge</t>
  </si>
  <si>
    <t>Adet</t>
  </si>
  <si>
    <t>Bugün İzinli</t>
  </si>
  <si>
    <t>Geciken İş</t>
  </si>
  <si>
    <t>Bugün Son Tarihli</t>
  </si>
  <si>
    <t>Yaklaşan İş (7 gün)</t>
  </si>
  <si>
    <t>Otomatik Mail Taslağı</t>
  </si>
  <si>
    <t>Konu: Günlük Ekip Bilgilendirmesi – 07.10.2026
Günaydın,
Bugünkü ekip iş akışı özeti otomatik olarak hazırlanmıştır.
• İzinli çalışanlar: Excel verisinden otomatik alınacak
• Geciken işler: otomatik tespit edilecek
• Bugün tamamlanması gereken işler: otomatik tespit edilecek
• Önümüzdeki 7 gün içindeki işler: otomatik listelenecek
Detaylı takip dosyası ekte paylaşılacaktır.
Bu e-posta Python tarafından otomatik oluşturulmuştur.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</si>
</sst>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3" borderId="0" xfId="0" applyFont="1" applyFill="1"/>
    <xf numFmtId="0" fontId="2" fillId="2" borderId="0" xfId="0" applyFont="1" applyFill="1" applyAlignment="1">
      <alignment horizontal="center"/>
    </xf>
    <xf numFmtId="0" fontId="1" fillId="4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kipTakipTablosu" displayName="EkipTakipTablosu" ref="A1:H16" totalsRowShown="0">
  <tableColumns count="8">
    <tableColumn id="1" xr3:uid="{00000000-0010-0000-0000-000001000000}" name="Çalışan"/>
    <tableColumn id="2" xr3:uid="{00000000-0010-0000-0000-000002000000}" name="E-posta"/>
    <tableColumn id="3" xr3:uid="{00000000-0010-0000-0000-000003000000}" name="İzin Durumu"/>
    <tableColumn id="4" xr3:uid="{00000000-0010-0000-0000-000004000000}" name="İş / Görev"/>
    <tableColumn id="5" xr3:uid="{00000000-0010-0000-0000-000005000000}" name="Son Tarih"/>
    <tableColumn id="6" xr3:uid="{00000000-0010-0000-0000-000006000000}" name="Durum"/>
    <tableColumn id="7" xr3:uid="{00000000-0010-0000-0000-000007000000}" name="Öncelik"/>
    <tableColumn id="8" xr3:uid="{00000000-0010-0000-0000-000008000000}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4.25"/>
  <cols>
    <col min="1" max="1" width="18" customWidth="1"/>
    <col min="2" max="2" width="32" customWidth="1"/>
    <col min="3" max="3" width="15" customWidth="1"/>
    <col min="4" max="4" width="30" customWidth="1"/>
    <col min="5" max="5" width="14" customWidth="1"/>
    <col min="6" max="6" width="16" customWidth="1"/>
    <col min="7" max="7" width="12" customWidth="1"/>
    <col min="8" max="8" width="20" customWidth="1"/>
  </cols>
  <sheetData>
    <row r="1" spans="1:8" ht="1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t="s">
        <v>9</v>
      </c>
      <c r="C2" s="3" t="s">
        <v>10</v>
      </c>
      <c r="D2" s="3" t="s">
        <v>11</v>
      </c>
      <c r="E2" s="4">
        <v>46302</v>
      </c>
      <c r="F2" s="3" t="s">
        <v>12</v>
      </c>
      <c r="G2" s="3" t="s">
        <v>13</v>
      </c>
      <c r="H2" s="3" t="s">
        <v>14</v>
      </c>
    </row>
    <row r="3" spans="1:8">
      <c r="A3" s="3" t="s">
        <v>15</v>
      </c>
      <c r="B3" t="s">
        <v>16</v>
      </c>
      <c r="C3" s="3" t="s">
        <v>17</v>
      </c>
      <c r="D3" s="3" t="s">
        <v>18</v>
      </c>
      <c r="E3" s="4">
        <v>46301</v>
      </c>
      <c r="F3" s="3" t="s">
        <v>12</v>
      </c>
      <c r="G3" s="3" t="s">
        <v>13</v>
      </c>
      <c r="H3" s="3"/>
    </row>
    <row r="4" spans="1:8">
      <c r="A4" s="3" t="s">
        <v>19</v>
      </c>
      <c r="B4" t="s">
        <v>20</v>
      </c>
      <c r="C4" s="3" t="s">
        <v>17</v>
      </c>
      <c r="D4" s="3" t="s">
        <v>21</v>
      </c>
      <c r="E4" s="4">
        <v>46302</v>
      </c>
      <c r="F4" s="3" t="s">
        <v>22</v>
      </c>
      <c r="G4" s="3" t="s">
        <v>23</v>
      </c>
      <c r="H4" s="3"/>
    </row>
    <row r="5" spans="1:8">
      <c r="A5" s="3" t="s">
        <v>24</v>
      </c>
      <c r="B5" t="s">
        <v>25</v>
      </c>
      <c r="C5" s="3" t="s">
        <v>17</v>
      </c>
      <c r="D5" s="3" t="s">
        <v>26</v>
      </c>
      <c r="E5" s="4">
        <v>46304</v>
      </c>
      <c r="F5" s="3" t="s">
        <v>12</v>
      </c>
      <c r="G5" s="3" t="s">
        <v>23</v>
      </c>
      <c r="H5" s="3"/>
    </row>
    <row r="6" spans="1:8">
      <c r="A6" s="3" t="s">
        <v>27</v>
      </c>
      <c r="B6" t="s">
        <v>28</v>
      </c>
      <c r="C6" s="3" t="s">
        <v>10</v>
      </c>
      <c r="D6" s="3" t="s">
        <v>29</v>
      </c>
      <c r="E6" s="4">
        <v>46305</v>
      </c>
      <c r="F6" s="3" t="s">
        <v>12</v>
      </c>
      <c r="G6" s="3" t="s">
        <v>30</v>
      </c>
      <c r="H6" s="3" t="s">
        <v>14</v>
      </c>
    </row>
    <row r="7" spans="1:8">
      <c r="A7" s="3" t="s">
        <v>31</v>
      </c>
      <c r="B7" t="s">
        <v>32</v>
      </c>
      <c r="C7" s="3" t="s">
        <v>17</v>
      </c>
      <c r="D7" s="3" t="s">
        <v>33</v>
      </c>
      <c r="E7" s="4">
        <v>46300</v>
      </c>
      <c r="F7" s="3" t="s">
        <v>12</v>
      </c>
      <c r="G7" s="3" t="s">
        <v>13</v>
      </c>
      <c r="H7" s="3"/>
    </row>
    <row r="8" spans="1:8">
      <c r="A8" s="3" t="s">
        <v>34</v>
      </c>
      <c r="B8" t="s">
        <v>35</v>
      </c>
      <c r="C8" s="3" t="s">
        <v>17</v>
      </c>
      <c r="D8" s="3" t="s">
        <v>36</v>
      </c>
      <c r="E8" s="4">
        <v>46302</v>
      </c>
      <c r="F8" s="3" t="s">
        <v>37</v>
      </c>
      <c r="G8" s="3" t="s">
        <v>23</v>
      </c>
      <c r="H8" s="3"/>
    </row>
    <row r="9" spans="1:8">
      <c r="A9" s="3" t="s">
        <v>38</v>
      </c>
      <c r="B9" t="s">
        <v>39</v>
      </c>
      <c r="C9" s="3" t="s">
        <v>17</v>
      </c>
      <c r="D9" s="3" t="s">
        <v>40</v>
      </c>
      <c r="E9" s="4">
        <v>46303</v>
      </c>
      <c r="F9" s="3" t="s">
        <v>22</v>
      </c>
      <c r="G9" s="3" t="s">
        <v>13</v>
      </c>
      <c r="H9" s="3"/>
    </row>
    <row r="10" spans="1:8">
      <c r="A10" s="3" t="s">
        <v>41</v>
      </c>
      <c r="B10" t="s">
        <v>42</v>
      </c>
      <c r="C10" s="3" t="s">
        <v>17</v>
      </c>
      <c r="D10" s="3" t="s">
        <v>43</v>
      </c>
      <c r="E10" s="4">
        <v>46307</v>
      </c>
      <c r="F10" s="3" t="s">
        <v>12</v>
      </c>
      <c r="G10" s="3" t="s">
        <v>30</v>
      </c>
      <c r="H10" s="3"/>
    </row>
    <row r="11" spans="1:8">
      <c r="A11" s="3" t="s">
        <v>44</v>
      </c>
      <c r="B11" t="s">
        <v>45</v>
      </c>
      <c r="C11" s="3" t="s">
        <v>17</v>
      </c>
      <c r="D11" s="3" t="s">
        <v>46</v>
      </c>
      <c r="E11" s="4">
        <v>46302</v>
      </c>
      <c r="F11" s="3" t="s">
        <v>12</v>
      </c>
      <c r="G11" s="3" t="s">
        <v>13</v>
      </c>
      <c r="H11" s="3"/>
    </row>
    <row r="12" spans="1:8">
      <c r="A12" s="3" t="s">
        <v>47</v>
      </c>
      <c r="B12" t="s">
        <v>48</v>
      </c>
      <c r="C12" s="3" t="s">
        <v>17</v>
      </c>
      <c r="D12" s="3" t="s">
        <v>49</v>
      </c>
      <c r="E12" s="4">
        <v>46306</v>
      </c>
      <c r="F12" s="3" t="s">
        <v>12</v>
      </c>
      <c r="G12" s="3" t="s">
        <v>23</v>
      </c>
      <c r="H12" s="3"/>
    </row>
    <row r="13" spans="1:8">
      <c r="A13" s="3" t="s">
        <v>50</v>
      </c>
      <c r="B13" t="s">
        <v>51</v>
      </c>
      <c r="C13" s="3" t="s">
        <v>17</v>
      </c>
      <c r="D13" s="3" t="s">
        <v>52</v>
      </c>
      <c r="E13" s="4">
        <v>46301</v>
      </c>
      <c r="F13" s="3" t="s">
        <v>22</v>
      </c>
      <c r="G13" s="3" t="s">
        <v>13</v>
      </c>
      <c r="H13" s="3"/>
    </row>
    <row r="14" spans="1:8">
      <c r="A14" s="3" t="s">
        <v>53</v>
      </c>
      <c r="B14" t="s">
        <v>54</v>
      </c>
      <c r="C14" s="3" t="s">
        <v>17</v>
      </c>
      <c r="D14" s="3" t="s">
        <v>55</v>
      </c>
      <c r="E14" s="4">
        <v>46308</v>
      </c>
      <c r="F14" s="3" t="s">
        <v>12</v>
      </c>
      <c r="G14" s="3" t="s">
        <v>30</v>
      </c>
      <c r="H14" s="3"/>
    </row>
    <row r="15" spans="1:8">
      <c r="A15" s="3" t="s">
        <v>56</v>
      </c>
      <c r="B15" t="s">
        <v>57</v>
      </c>
      <c r="C15" s="3" t="s">
        <v>10</v>
      </c>
      <c r="D15" s="3" t="s">
        <v>58</v>
      </c>
      <c r="E15" s="4">
        <v>46303</v>
      </c>
      <c r="F15" s="3" t="s">
        <v>12</v>
      </c>
      <c r="G15" s="3" t="s">
        <v>23</v>
      </c>
      <c r="H15" s="3" t="s">
        <v>14</v>
      </c>
    </row>
    <row r="16" spans="1:8">
      <c r="A16" s="3" t="s">
        <v>59</v>
      </c>
      <c r="B16" t="s">
        <v>60</v>
      </c>
      <c r="C16" s="3" t="s">
        <v>17</v>
      </c>
      <c r="D16" s="3" t="s">
        <v>61</v>
      </c>
      <c r="E16" s="4">
        <v>46302</v>
      </c>
      <c r="F16" s="3" t="s">
        <v>12</v>
      </c>
      <c r="G16" s="3" t="s">
        <v>23</v>
      </c>
      <c r="H16" s="3"/>
    </row>
  </sheetData>
  <conditionalFormatting sqref="C2:C100">
    <cfRule type="expression" dxfId="2" priority="1">
      <formula>C2="İzinli"</formula>
    </cfRule>
  </conditionalFormatting>
  <conditionalFormatting sqref="E2:E100">
    <cfRule type="expression" dxfId="1" priority="3">
      <formula>AND(E2&lt;DATE(2026,10,7),F2&lt;&gt;"Tamamlandı")</formula>
    </cfRule>
  </conditionalFormatting>
  <conditionalFormatting sqref="F2:F100">
    <cfRule type="expression" dxfId="0" priority="2">
      <formula>F2="Tamamlandı"</formula>
    </cfRule>
  </conditionalFormatting>
  <dataValidations count="3">
    <dataValidation type="list" sqref="C2:C100" xr:uid="{00000000-0002-0000-0000-000000000000}">
      <formula1>"Çalışıyor,İzinli"</formula1>
    </dataValidation>
    <dataValidation type="list" sqref="F2:F100" xr:uid="{00000000-0002-0000-0000-000001000000}">
      <formula1>"Bekliyor,Devam Ediyor,Tamamlandı"</formula1>
    </dataValidation>
    <dataValidation type="list" sqref="G2:G100" xr:uid="{00000000-0002-0000-0000-000002000000}">
      <formula1>"Yüksek,Orta,Düşük"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/>
  </sheetViews>
  <sheetFormatPr defaultRowHeight="14.25"/>
  <cols>
    <col min="1" max="1" width="28" customWidth="1"/>
    <col min="2" max="2" width="12" customWidth="1"/>
  </cols>
  <sheetData>
    <row r="1" spans="1:4" ht="18">
      <c r="A1" s="6" t="s">
        <v>62</v>
      </c>
      <c r="B1" s="6"/>
      <c r="C1" s="6"/>
      <c r="D1" s="6"/>
    </row>
    <row r="3" spans="1:4" ht="15">
      <c r="A3" s="5" t="s">
        <v>63</v>
      </c>
      <c r="B3" s="5" t="s">
        <v>64</v>
      </c>
    </row>
    <row r="4" spans="1:4">
      <c r="A4" t="s">
        <v>65</v>
      </c>
      <c r="B4">
        <f>COUNTIF('Ekip Takip'!C2:C16,"İzinli")</f>
        <v>3</v>
      </c>
    </row>
    <row r="5" spans="1:4">
      <c r="A5" t="s">
        <v>66</v>
      </c>
      <c r="B5">
        <f>COUNTIFS('Ekip Takip'!E2:E16,"&lt;"&amp;DATE(2026,10,7),'Ekip Takip'!F2:F16,"&lt;&gt;Tamamlandı")</f>
        <v>3</v>
      </c>
    </row>
    <row r="6" spans="1:4">
      <c r="A6" t="s">
        <v>67</v>
      </c>
      <c r="B6">
        <f>COUNTIFS('Ekip Takip'!E2:E16,DATE(2026,10,7),'Ekip Takip'!F2:F16,"&lt;&gt;Tamamlandı")</f>
        <v>4</v>
      </c>
    </row>
    <row r="7" spans="1:4">
      <c r="A7" t="s">
        <v>68</v>
      </c>
      <c r="B7">
        <f>COUNTIFS('Ekip Takip'!E2:E16,"&gt;"&amp;DATE(2026,10,7),'Ekip Takip'!E2:E16,"&lt;="&amp;DATE(2026,10,14),'Ekip Takip'!F2:F16,"&lt;&gt;Tamamlandı")</f>
        <v>7</v>
      </c>
    </row>
    <row r="10" spans="1:4" ht="15">
      <c r="A10" s="7" t="s">
        <v>69</v>
      </c>
      <c r="B10" s="7"/>
      <c r="C10" s="7"/>
      <c r="D10" s="7"/>
    </row>
    <row r="11" spans="1:4" ht="24" customHeight="1">
      <c r="A11" s="8" t="s">
        <v>70</v>
      </c>
      <c r="B11" s="8"/>
      <c r="C11" s="8"/>
      <c r="D11" s="8"/>
    </row>
    <row r="12" spans="1:4" ht="24" customHeight="1">
      <c r="A12" s="8"/>
      <c r="B12" s="8"/>
      <c r="C12" s="8"/>
      <c r="D12" s="8"/>
    </row>
    <row r="13" spans="1:4" ht="24" customHeight="1">
      <c r="A13" s="8"/>
      <c r="B13" s="8"/>
      <c r="C13" s="8"/>
      <c r="D13" s="8"/>
    </row>
    <row r="14" spans="1:4" ht="24" customHeight="1">
      <c r="A14" s="8"/>
      <c r="B14" s="8"/>
      <c r="C14" s="8"/>
      <c r="D14" s="8"/>
    </row>
    <row r="15" spans="1:4" ht="24" customHeight="1">
      <c r="A15" s="8"/>
      <c r="B15" s="8"/>
      <c r="C15" s="8"/>
      <c r="D15" s="8"/>
    </row>
    <row r="16" spans="1:4" ht="24" customHeight="1">
      <c r="A16" s="8"/>
      <c r="B16" s="8"/>
      <c r="C16" s="8"/>
      <c r="D16" s="8"/>
    </row>
    <row r="17" spans="1:4" ht="24" customHeight="1">
      <c r="A17" s="8"/>
      <c r="B17" s="8"/>
      <c r="C17" s="8"/>
      <c r="D17" s="8"/>
    </row>
    <row r="18" spans="1:4" ht="24" customHeight="1">
      <c r="A18" s="8"/>
      <c r="B18" s="8"/>
      <c r="C18" s="8"/>
      <c r="D18" s="8"/>
    </row>
  </sheetData>
  <mergeCells count="3">
    <mergeCell ref="A1:D1"/>
    <mergeCell ref="A10:D10"/>
    <mergeCell ref="A11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Ekip Takip</vt:lpstr>
      <vt:lpstr>Günlük 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Ayfer ATASEVER</dc:creator>
  <cp:lastModifiedBy>Ayfer ATASEVER</cp:lastModifiedBy>
  <dcterms:created xsi:type="dcterms:W3CDTF">2026-10-09T21:19:53Z</dcterms:created>
  <dcterms:modified xsi:type="dcterms:W3CDTF">2026-10-09T21:19:53Z</dcterms:modified>
</cp:coreProperties>
</file>